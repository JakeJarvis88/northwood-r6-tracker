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ries" sheetId="2" state="visible" r:id="rId4"/>
    <sheet name="Maps" sheetId="3" state="visible" r:id="rId5"/>
    <sheet name="Player Map Stats" sheetId="4" state="visible" r:id="rId6"/>
    <sheet name="Player Overview" sheetId="5" state="visible" r:id="rId7"/>
    <sheet name="Map Analysis" sheetId="6" state="visible" r:id="rId8"/>
    <sheet name="Veto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<sst xmlns="http://schemas.openxmlformats.org/spreadsheetml/2006/main" count="328" uniqueCount="100">
  <si>
    <t xml:space="preserve">Northwood R6 stat export</t>
  </si>
  <si>
    <t xml:space="preserve">This workbook is generated from data/siege.db by the tracker app (Manage -&gt; Export).</t>
  </si>
  <si>
    <t xml:space="preserve">Edit data in the app, then re-export; hand edits here are overwritten next export.</t>
  </si>
  <si>
    <t xml:space="preserve">Definitions:</t>
  </si>
  <si>
    <t xml:space="preserve">K/D = kills/deaths (displayed as kill count when deaths = 0)</t>
  </si>
  <si>
    <t xml:space="preserve">KPR = kills / rounds played</t>
  </si>
  <si>
    <t xml:space="preserve">Survival % = (rounds played - deaths) / rounds played</t>
  </si>
  <si>
    <t xml:space="preserve">+/- = kills - deaths</t>
  </si>
  <si>
    <t xml:space="preserve">Screenshot-derived stats: Score, K, D, A, rounds. KOST/clutches/plants are manual-only.</t>
  </si>
  <si>
    <t xml:space="preserve">series_id</t>
  </si>
  <si>
    <t xml:space="preserve">date</t>
  </si>
  <si>
    <t xml:space="preserve">match_type</t>
  </si>
  <si>
    <t xml:space="preserve">season</t>
  </si>
  <si>
    <t xml:space="preserve">competition</t>
  </si>
  <si>
    <t xml:space="preserve">opponent</t>
  </si>
  <si>
    <t xml:space="preserve">format</t>
  </si>
  <si>
    <t xml:space="preserve">result</t>
  </si>
  <si>
    <t xml:space="preserve">maps_won</t>
  </si>
  <si>
    <t xml:space="preserve">maps_lost</t>
  </si>
  <si>
    <t xml:space="preserve">vod</t>
  </si>
  <si>
    <t xml:space="preserve">notes</t>
  </si>
  <si>
    <t xml:space="preserve">2026-09-16</t>
  </si>
  <si>
    <t xml:space="preserve">Gameday</t>
  </si>
  <si>
    <t xml:space="preserve">2026-27</t>
  </si>
  <si>
    <t xml:space="preserve">CR6</t>
  </si>
  <si>
    <t xml:space="preserve">Cumberland</t>
  </si>
  <si>
    <t xml:space="preserve">BO3</t>
  </si>
  <si>
    <t xml:space="preserve">L</t>
  </si>
  <si>
    <t xml:space="preserve">Imported from screenshots. Northwood bans not recorded in old sheet.</t>
  </si>
  <si>
    <t xml:space="preserve">2026-09-18</t>
  </si>
  <si>
    <t xml:space="preserve">Scrim</t>
  </si>
  <si>
    <t xml:space="preserve">Practice Squad</t>
  </si>
  <si>
    <t xml:space="preserve">BO1</t>
  </si>
  <si>
    <t xml:space="preserve">W</t>
  </si>
  <si>
    <t xml:space="preserve">map_game_id</t>
  </si>
  <si>
    <t xml:space="preserve">map_number</t>
  </si>
  <si>
    <t xml:space="preserve">map_name</t>
  </si>
  <si>
    <t xml:space="preserve">rounds_won</t>
  </si>
  <si>
    <t xml:space="preserve">rounds_lost</t>
  </si>
  <si>
    <t xml:space="preserve">total_rounds</t>
  </si>
  <si>
    <t xml:space="preserve">siege_match_id</t>
  </si>
  <si>
    <t xml:space="preserve">source_file</t>
  </si>
  <si>
    <t xml:space="preserve">import_status</t>
  </si>
  <si>
    <t xml:space="preserve">Bank</t>
  </si>
  <si>
    <t xml:space="preserve">d636cdcd-4c6e-4c68-b86e-b903082bb324</t>
  </si>
  <si>
    <t xml:space="preserve">Tom_Clancy_s_Rainbow_Six__Siege2026-9-16-22-15-48.jpg</t>
  </si>
  <si>
    <t xml:space="preserve">confirmed</t>
  </si>
  <si>
    <t xml:space="preserve">Fortress</t>
  </si>
  <si>
    <t xml:space="preserve">0c971272-9308-457a-a642-35ccc859c3d7</t>
  </si>
  <si>
    <t xml:space="preserve">Tom_Clancy_s_Rainbow_Six__Siege2026-9-16-21-49-42.jpg</t>
  </si>
  <si>
    <t xml:space="preserve">Club</t>
  </si>
  <si>
    <t xml:space="preserve">team_name</t>
  </si>
  <si>
    <t xml:space="preserve">display_name</t>
  </si>
  <si>
    <t xml:space="preserve">gamertag_displayed</t>
  </si>
  <si>
    <t xml:space="preserve">score</t>
  </si>
  <si>
    <t xml:space="preserve">kills</t>
  </si>
  <si>
    <t xml:space="preserve">deaths</t>
  </si>
  <si>
    <t xml:space="preserve">assists</t>
  </si>
  <si>
    <t xml:space="preserve">rounds_played</t>
  </si>
  <si>
    <t xml:space="preserve">Northwood</t>
  </si>
  <si>
    <t xml:space="preserve">Jarvis</t>
  </si>
  <si>
    <t xml:space="preserve">Jarviz.</t>
  </si>
  <si>
    <t xml:space="preserve">Adam</t>
  </si>
  <si>
    <t xml:space="preserve">Carlow-</t>
  </si>
  <si>
    <t xml:space="preserve">Fish</t>
  </si>
  <si>
    <t xml:space="preserve">HokiesHi</t>
  </si>
  <si>
    <t xml:space="preserve">Lexi</t>
  </si>
  <si>
    <t xml:space="preserve">lexilemonhead</t>
  </si>
  <si>
    <t xml:space="preserve">Vogel</t>
  </si>
  <si>
    <t xml:space="preserve">vogez.um</t>
  </si>
  <si>
    <t xml:space="preserve">Fluancyyy</t>
  </si>
  <si>
    <t xml:space="preserve">Wakko</t>
  </si>
  <si>
    <t xml:space="preserve">ProneStarz</t>
  </si>
  <si>
    <t xml:space="preserve">Scarinho.</t>
  </si>
  <si>
    <t xml:space="preserve">SPOOMAN.</t>
  </si>
  <si>
    <t xml:space="preserve">Player</t>
  </si>
  <si>
    <t xml:space="preserve">Maps</t>
  </si>
  <si>
    <t xml:space="preserve">Rounds</t>
  </si>
  <si>
    <t xml:space="preserve">K</t>
  </si>
  <si>
    <t xml:space="preserve">D</t>
  </si>
  <si>
    <t xml:space="preserve">A</t>
  </si>
  <si>
    <t xml:space="preserve">K/D</t>
  </si>
  <si>
    <t xml:space="preserve">KPR</t>
  </si>
  <si>
    <t xml:space="preserve">SRV %</t>
  </si>
  <si>
    <t xml:space="preserve">+/-</t>
  </si>
  <si>
    <t xml:space="preserve">Played</t>
  </si>
  <si>
    <t xml:space="preserve">RW</t>
  </si>
  <si>
    <t xml:space="preserve">RL</t>
  </si>
  <si>
    <t xml:space="preserve">Map Win%</t>
  </si>
  <si>
    <t xml:space="preserve">Round Win%</t>
  </si>
  <si>
    <t xml:space="preserve">seq</t>
  </si>
  <si>
    <t xml:space="preserve">acting_team</t>
  </si>
  <si>
    <t xml:space="preserve">action</t>
  </si>
  <si>
    <t xml:space="preserve">Ban</t>
  </si>
  <si>
    <t xml:space="preserve">Villa</t>
  </si>
  <si>
    <t xml:space="preserve">Chalet</t>
  </si>
  <si>
    <t xml:space="preserve">Pick</t>
  </si>
  <si>
    <t xml:space="preserve">Lair</t>
  </si>
  <si>
    <t xml:space="preserve">Decider</t>
  </si>
  <si>
    <t xml:space="preserve">Nighthaven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</si>
</sst>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42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n">
        <v>0</v>
      </c>
      <c r="J2" s="2" t="n">
        <v>2</v>
      </c>
      <c r="K2" s="2"/>
      <c r="L2" s="2" t="s">
        <v>28</v>
      </c>
    </row>
    <row r="3" customFormat="false" ht="15" hidden="false" customHeight="false" outlineLevel="0" collapsed="false">
      <c r="A3" s="2" t="n">
        <v>2</v>
      </c>
      <c r="B3" s="2" t="s">
        <v>29</v>
      </c>
      <c r="C3" s="2" t="s">
        <v>30</v>
      </c>
      <c r="D3" s="2" t="s">
        <v>23</v>
      </c>
      <c r="E3" s="2" t="s">
        <v>30</v>
      </c>
      <c r="F3" s="2" t="s">
        <v>31</v>
      </c>
      <c r="G3" s="2" t="s">
        <v>32</v>
      </c>
      <c r="H3" s="2" t="s">
        <v>33</v>
      </c>
      <c r="I3" s="2" t="n">
        <v>1</v>
      </c>
      <c r="J3" s="2" t="n">
        <v>0</v>
      </c>
      <c r="K3" s="2"/>
      <c r="L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38"/>
    <col collapsed="false" customWidth="true" hidden="false" outlineLevel="0" max="13" min="13" style="0" width="42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3" t="s">
        <v>34</v>
      </c>
      <c r="B1" s="3" t="s">
        <v>9</v>
      </c>
      <c r="C1" s="3" t="s">
        <v>10</v>
      </c>
      <c r="D1" s="3" t="s">
        <v>11</v>
      </c>
      <c r="E1" s="3" t="s">
        <v>14</v>
      </c>
      <c r="F1" s="3" t="s">
        <v>35</v>
      </c>
      <c r="G1" s="3" t="s">
        <v>36</v>
      </c>
      <c r="H1" s="3" t="s">
        <v>16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21</v>
      </c>
      <c r="D2" s="2" t="s">
        <v>22</v>
      </c>
      <c r="E2" s="2" t="s">
        <v>25</v>
      </c>
      <c r="F2" s="2" t="n">
        <v>1</v>
      </c>
      <c r="G2" s="2" t="s">
        <v>43</v>
      </c>
      <c r="H2" s="2" t="s">
        <v>27</v>
      </c>
      <c r="I2" s="2" t="n">
        <v>3</v>
      </c>
      <c r="J2" s="2" t="n">
        <v>7</v>
      </c>
      <c r="K2" s="2" t="n">
        <v>10</v>
      </c>
      <c r="L2" s="2" t="s">
        <v>44</v>
      </c>
      <c r="M2" s="2" t="s">
        <v>45</v>
      </c>
      <c r="N2" s="2" t="s">
        <v>46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s">
        <v>21</v>
      </c>
      <c r="D3" s="2" t="s">
        <v>22</v>
      </c>
      <c r="E3" s="2" t="s">
        <v>25</v>
      </c>
      <c r="F3" s="2" t="n">
        <v>2</v>
      </c>
      <c r="G3" s="2" t="s">
        <v>47</v>
      </c>
      <c r="H3" s="2" t="s">
        <v>27</v>
      </c>
      <c r="I3" s="2" t="n">
        <v>3</v>
      </c>
      <c r="J3" s="2" t="n">
        <v>7</v>
      </c>
      <c r="K3" s="2" t="n">
        <v>10</v>
      </c>
      <c r="L3" s="2" t="s">
        <v>48</v>
      </c>
      <c r="M3" s="2" t="s">
        <v>49</v>
      </c>
      <c r="N3" s="2" t="s">
        <v>46</v>
      </c>
    </row>
    <row r="4" customFormat="false" ht="15" hidden="false" customHeight="false" outlineLevel="0" collapsed="false">
      <c r="A4" s="2" t="n">
        <v>3</v>
      </c>
      <c r="B4" s="2" t="n">
        <v>2</v>
      </c>
      <c r="C4" s="2" t="s">
        <v>29</v>
      </c>
      <c r="D4" s="2" t="s">
        <v>30</v>
      </c>
      <c r="E4" s="2" t="s">
        <v>31</v>
      </c>
      <c r="F4" s="2" t="n">
        <v>1</v>
      </c>
      <c r="G4" s="2" t="s">
        <v>50</v>
      </c>
      <c r="H4" s="2" t="s">
        <v>33</v>
      </c>
      <c r="I4" s="2" t="n">
        <v>7</v>
      </c>
      <c r="J4" s="2" t="n">
        <v>2</v>
      </c>
      <c r="K4" s="2" t="n">
        <v>9</v>
      </c>
      <c r="L4" s="2"/>
      <c r="M4" s="2"/>
      <c r="N4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12" min="9" style="0" width="9"/>
    <col collapsed="false" customWidth="true" hidden="false" outlineLevel="0" max="13" min="13" style="0" width="15"/>
  </cols>
  <sheetData>
    <row r="1" customFormat="false" ht="15" hidden="false" customHeight="false" outlineLevel="0" collapsed="false">
      <c r="A1" s="3" t="s">
        <v>34</v>
      </c>
      <c r="B1" s="3" t="s">
        <v>10</v>
      </c>
      <c r="C1" s="3" t="s">
        <v>11</v>
      </c>
      <c r="D1" s="3" t="s">
        <v>14</v>
      </c>
      <c r="E1" s="3" t="s">
        <v>36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</row>
    <row r="2" customFormat="false" ht="15" hidden="false" customHeight="false" outlineLevel="0" collapsed="false">
      <c r="A2" s="2" t="n">
        <v>1</v>
      </c>
      <c r="B2" s="2" t="s">
        <v>21</v>
      </c>
      <c r="C2" s="2" t="s">
        <v>22</v>
      </c>
      <c r="D2" s="2" t="s">
        <v>25</v>
      </c>
      <c r="E2" s="2" t="s">
        <v>43</v>
      </c>
      <c r="F2" s="2" t="s">
        <v>59</v>
      </c>
      <c r="G2" s="2" t="s">
        <v>60</v>
      </c>
      <c r="H2" s="2" t="s">
        <v>61</v>
      </c>
      <c r="I2" s="2" t="n">
        <v>3085</v>
      </c>
      <c r="J2" s="2" t="n">
        <v>9</v>
      </c>
      <c r="K2" s="2" t="n">
        <v>8</v>
      </c>
      <c r="L2" s="2" t="n">
        <v>1</v>
      </c>
      <c r="M2" s="2" t="n">
        <v>10</v>
      </c>
    </row>
    <row r="3" customFormat="false" ht="15" hidden="false" customHeight="false" outlineLevel="0" collapsed="false">
      <c r="A3" s="2" t="n">
        <v>1</v>
      </c>
      <c r="B3" s="2" t="s">
        <v>21</v>
      </c>
      <c r="C3" s="2" t="s">
        <v>22</v>
      </c>
      <c r="D3" s="2" t="s">
        <v>25</v>
      </c>
      <c r="E3" s="2" t="s">
        <v>43</v>
      </c>
      <c r="F3" s="2" t="s">
        <v>59</v>
      </c>
      <c r="G3" s="2" t="s">
        <v>62</v>
      </c>
      <c r="H3" s="2" t="s">
        <v>63</v>
      </c>
      <c r="I3" s="2" t="n">
        <v>2940</v>
      </c>
      <c r="J3" s="2" t="n">
        <v>5</v>
      </c>
      <c r="K3" s="2" t="n">
        <v>9</v>
      </c>
      <c r="L3" s="2" t="n">
        <v>4</v>
      </c>
      <c r="M3" s="2" t="n">
        <v>10</v>
      </c>
    </row>
    <row r="4" customFormat="false" ht="15" hidden="false" customHeight="false" outlineLevel="0" collapsed="false">
      <c r="A4" s="2" t="n">
        <v>1</v>
      </c>
      <c r="B4" s="2" t="s">
        <v>21</v>
      </c>
      <c r="C4" s="2" t="s">
        <v>22</v>
      </c>
      <c r="D4" s="2" t="s">
        <v>25</v>
      </c>
      <c r="E4" s="2" t="s">
        <v>43</v>
      </c>
      <c r="F4" s="2" t="s">
        <v>59</v>
      </c>
      <c r="G4" s="2" t="s">
        <v>64</v>
      </c>
      <c r="H4" s="2" t="s">
        <v>65</v>
      </c>
      <c r="I4" s="2" t="n">
        <v>2672</v>
      </c>
      <c r="J4" s="2" t="n">
        <v>8</v>
      </c>
      <c r="K4" s="2" t="n">
        <v>9</v>
      </c>
      <c r="L4" s="2" t="n">
        <v>0</v>
      </c>
      <c r="M4" s="2" t="n">
        <v>10</v>
      </c>
    </row>
    <row r="5" customFormat="false" ht="15" hidden="false" customHeight="false" outlineLevel="0" collapsed="false">
      <c r="A5" s="2" t="n">
        <v>1</v>
      </c>
      <c r="B5" s="2" t="s">
        <v>21</v>
      </c>
      <c r="C5" s="2" t="s">
        <v>22</v>
      </c>
      <c r="D5" s="2" t="s">
        <v>25</v>
      </c>
      <c r="E5" s="2" t="s">
        <v>43</v>
      </c>
      <c r="F5" s="2" t="s">
        <v>59</v>
      </c>
      <c r="G5" s="2" t="s">
        <v>66</v>
      </c>
      <c r="H5" s="2" t="s">
        <v>67</v>
      </c>
      <c r="I5" s="2" t="n">
        <v>2090</v>
      </c>
      <c r="J5" s="2" t="n">
        <v>3</v>
      </c>
      <c r="K5" s="2" t="n">
        <v>9</v>
      </c>
      <c r="L5" s="2" t="n">
        <v>2</v>
      </c>
      <c r="M5" s="2" t="n">
        <v>10</v>
      </c>
    </row>
    <row r="6" customFormat="false" ht="15" hidden="false" customHeight="false" outlineLevel="0" collapsed="false">
      <c r="A6" s="2" t="n">
        <v>1</v>
      </c>
      <c r="B6" s="2" t="s">
        <v>21</v>
      </c>
      <c r="C6" s="2" t="s">
        <v>22</v>
      </c>
      <c r="D6" s="2" t="s">
        <v>25</v>
      </c>
      <c r="E6" s="2" t="s">
        <v>43</v>
      </c>
      <c r="F6" s="2" t="s">
        <v>59</v>
      </c>
      <c r="G6" s="2" t="s">
        <v>68</v>
      </c>
      <c r="H6" s="2" t="s">
        <v>69</v>
      </c>
      <c r="I6" s="2" t="n">
        <v>2030</v>
      </c>
      <c r="J6" s="2" t="n">
        <v>3</v>
      </c>
      <c r="K6" s="2" t="n">
        <v>7</v>
      </c>
      <c r="L6" s="2" t="n">
        <v>0</v>
      </c>
      <c r="M6" s="2" t="n">
        <v>10</v>
      </c>
    </row>
    <row r="7" customFormat="false" ht="15" hidden="false" customHeight="false" outlineLevel="0" collapsed="false">
      <c r="A7" s="2" t="n">
        <v>1</v>
      </c>
      <c r="B7" s="2" t="s">
        <v>21</v>
      </c>
      <c r="C7" s="2" t="s">
        <v>22</v>
      </c>
      <c r="D7" s="2" t="s">
        <v>25</v>
      </c>
      <c r="E7" s="2" t="s">
        <v>43</v>
      </c>
      <c r="F7" s="2" t="s">
        <v>25</v>
      </c>
      <c r="G7" s="2" t="s">
        <v>70</v>
      </c>
      <c r="H7" s="2" t="s">
        <v>70</v>
      </c>
      <c r="I7" s="2" t="n">
        <v>6160</v>
      </c>
      <c r="J7" s="2" t="n">
        <v>10</v>
      </c>
      <c r="K7" s="2" t="n">
        <v>5</v>
      </c>
      <c r="L7" s="2" t="n">
        <v>6</v>
      </c>
      <c r="M7" s="2" t="n">
        <v>10</v>
      </c>
    </row>
    <row r="8" customFormat="false" ht="15" hidden="false" customHeight="false" outlineLevel="0" collapsed="false">
      <c r="A8" s="2" t="n">
        <v>1</v>
      </c>
      <c r="B8" s="2" t="s">
        <v>21</v>
      </c>
      <c r="C8" s="2" t="s">
        <v>22</v>
      </c>
      <c r="D8" s="2" t="s">
        <v>25</v>
      </c>
      <c r="E8" s="2" t="s">
        <v>43</v>
      </c>
      <c r="F8" s="2" t="s">
        <v>25</v>
      </c>
      <c r="G8" s="2" t="s">
        <v>71</v>
      </c>
      <c r="H8" s="2" t="s">
        <v>71</v>
      </c>
      <c r="I8" s="2" t="n">
        <v>5928</v>
      </c>
      <c r="J8" s="2" t="n">
        <v>13</v>
      </c>
      <c r="K8" s="2" t="n">
        <v>5</v>
      </c>
      <c r="L8" s="2" t="n">
        <v>4</v>
      </c>
      <c r="M8" s="2" t="n">
        <v>10</v>
      </c>
    </row>
    <row r="9" customFormat="false" ht="15" hidden="false" customHeight="false" outlineLevel="0" collapsed="false">
      <c r="A9" s="2" t="n">
        <v>1</v>
      </c>
      <c r="B9" s="2" t="s">
        <v>21</v>
      </c>
      <c r="C9" s="2" t="s">
        <v>22</v>
      </c>
      <c r="D9" s="2" t="s">
        <v>25</v>
      </c>
      <c r="E9" s="2" t="s">
        <v>43</v>
      </c>
      <c r="F9" s="2" t="s">
        <v>25</v>
      </c>
      <c r="G9" s="2" t="s">
        <v>72</v>
      </c>
      <c r="H9" s="2" t="s">
        <v>72</v>
      </c>
      <c r="I9" s="2" t="n">
        <v>5555</v>
      </c>
      <c r="J9" s="2" t="n">
        <v>11</v>
      </c>
      <c r="K9" s="2" t="n">
        <v>6</v>
      </c>
      <c r="L9" s="2" t="n">
        <v>3</v>
      </c>
      <c r="M9" s="2" t="n">
        <v>10</v>
      </c>
    </row>
    <row r="10" customFormat="false" ht="15" hidden="false" customHeight="false" outlineLevel="0" collapsed="false">
      <c r="A10" s="2" t="n">
        <v>1</v>
      </c>
      <c r="B10" s="2" t="s">
        <v>21</v>
      </c>
      <c r="C10" s="2" t="s">
        <v>22</v>
      </c>
      <c r="D10" s="2" t="s">
        <v>25</v>
      </c>
      <c r="E10" s="2" t="s">
        <v>43</v>
      </c>
      <c r="F10" s="2" t="s">
        <v>25</v>
      </c>
      <c r="G10" s="2" t="s">
        <v>73</v>
      </c>
      <c r="H10" s="2" t="s">
        <v>73</v>
      </c>
      <c r="I10" s="2" t="n">
        <v>5042</v>
      </c>
      <c r="J10" s="2" t="n">
        <v>5</v>
      </c>
      <c r="K10" s="2" t="n">
        <v>6</v>
      </c>
      <c r="L10" s="2" t="n">
        <v>4</v>
      </c>
      <c r="M10" s="2" t="n">
        <v>10</v>
      </c>
    </row>
    <row r="11" customFormat="false" ht="15" hidden="false" customHeight="false" outlineLevel="0" collapsed="false">
      <c r="A11" s="2" t="n">
        <v>1</v>
      </c>
      <c r="B11" s="2" t="s">
        <v>21</v>
      </c>
      <c r="C11" s="2" t="s">
        <v>22</v>
      </c>
      <c r="D11" s="2" t="s">
        <v>25</v>
      </c>
      <c r="E11" s="2" t="s">
        <v>43</v>
      </c>
      <c r="F11" s="2" t="s">
        <v>25</v>
      </c>
      <c r="G11" s="2" t="s">
        <v>74</v>
      </c>
      <c r="H11" s="2" t="s">
        <v>74</v>
      </c>
      <c r="I11" s="2" t="n">
        <v>4881</v>
      </c>
      <c r="J11" s="2" t="n">
        <v>3</v>
      </c>
      <c r="K11" s="2" t="n">
        <v>6</v>
      </c>
      <c r="L11" s="2" t="n">
        <v>3</v>
      </c>
      <c r="M11" s="2" t="n">
        <v>10</v>
      </c>
    </row>
    <row r="12" customFormat="false" ht="15" hidden="false" customHeight="false" outlineLevel="0" collapsed="false">
      <c r="A12" s="2" t="n">
        <v>2</v>
      </c>
      <c r="B12" s="2" t="s">
        <v>21</v>
      </c>
      <c r="C12" s="2" t="s">
        <v>22</v>
      </c>
      <c r="D12" s="2" t="s">
        <v>25</v>
      </c>
      <c r="E12" s="2" t="s">
        <v>47</v>
      </c>
      <c r="F12" s="2" t="s">
        <v>59</v>
      </c>
      <c r="G12" s="2" t="s">
        <v>64</v>
      </c>
      <c r="H12" s="2" t="s">
        <v>65</v>
      </c>
      <c r="I12" s="2" t="n">
        <v>2665</v>
      </c>
      <c r="J12" s="2" t="n">
        <v>10</v>
      </c>
      <c r="K12" s="2" t="n">
        <v>7</v>
      </c>
      <c r="L12" s="2" t="n">
        <v>1</v>
      </c>
      <c r="M12" s="2" t="n">
        <v>10</v>
      </c>
    </row>
    <row r="13" customFormat="false" ht="15" hidden="false" customHeight="false" outlineLevel="0" collapsed="false">
      <c r="A13" s="2" t="n">
        <v>2</v>
      </c>
      <c r="B13" s="2" t="s">
        <v>21</v>
      </c>
      <c r="C13" s="2" t="s">
        <v>22</v>
      </c>
      <c r="D13" s="2" t="s">
        <v>25</v>
      </c>
      <c r="E13" s="2" t="s">
        <v>47</v>
      </c>
      <c r="F13" s="2" t="s">
        <v>59</v>
      </c>
      <c r="G13" s="2" t="s">
        <v>60</v>
      </c>
      <c r="H13" s="2" t="s">
        <v>61</v>
      </c>
      <c r="I13" s="2" t="n">
        <v>2469</v>
      </c>
      <c r="J13" s="2" t="n">
        <v>8</v>
      </c>
      <c r="K13" s="2" t="n">
        <v>7</v>
      </c>
      <c r="L13" s="2" t="n">
        <v>1</v>
      </c>
      <c r="M13" s="2" t="n">
        <v>10</v>
      </c>
    </row>
    <row r="14" customFormat="false" ht="15" hidden="false" customHeight="false" outlineLevel="0" collapsed="false">
      <c r="A14" s="2" t="n">
        <v>2</v>
      </c>
      <c r="B14" s="2" t="s">
        <v>21</v>
      </c>
      <c r="C14" s="2" t="s">
        <v>22</v>
      </c>
      <c r="D14" s="2" t="s">
        <v>25</v>
      </c>
      <c r="E14" s="2" t="s">
        <v>47</v>
      </c>
      <c r="F14" s="2" t="s">
        <v>59</v>
      </c>
      <c r="G14" s="2" t="s">
        <v>68</v>
      </c>
      <c r="H14" s="2" t="s">
        <v>69</v>
      </c>
      <c r="I14" s="2" t="n">
        <v>2245</v>
      </c>
      <c r="J14" s="2" t="n">
        <v>3</v>
      </c>
      <c r="K14" s="2" t="n">
        <v>9</v>
      </c>
      <c r="L14" s="2" t="n">
        <v>2</v>
      </c>
      <c r="M14" s="2" t="n">
        <v>10</v>
      </c>
    </row>
    <row r="15" customFormat="false" ht="15" hidden="false" customHeight="false" outlineLevel="0" collapsed="false">
      <c r="A15" s="2" t="n">
        <v>2</v>
      </c>
      <c r="B15" s="2" t="s">
        <v>21</v>
      </c>
      <c r="C15" s="2" t="s">
        <v>22</v>
      </c>
      <c r="D15" s="2" t="s">
        <v>25</v>
      </c>
      <c r="E15" s="2" t="s">
        <v>47</v>
      </c>
      <c r="F15" s="2" t="s">
        <v>59</v>
      </c>
      <c r="G15" s="2" t="s">
        <v>62</v>
      </c>
      <c r="H15" s="2" t="s">
        <v>63</v>
      </c>
      <c r="I15" s="2" t="n">
        <v>2146</v>
      </c>
      <c r="J15" s="2" t="n">
        <v>6</v>
      </c>
      <c r="K15" s="2" t="n">
        <v>8</v>
      </c>
      <c r="L15" s="2" t="n">
        <v>1</v>
      </c>
      <c r="M15" s="2" t="n">
        <v>10</v>
      </c>
    </row>
    <row r="16" customFormat="false" ht="15" hidden="false" customHeight="false" outlineLevel="0" collapsed="false">
      <c r="A16" s="2" t="n">
        <v>2</v>
      </c>
      <c r="B16" s="2" t="s">
        <v>21</v>
      </c>
      <c r="C16" s="2" t="s">
        <v>22</v>
      </c>
      <c r="D16" s="2" t="s">
        <v>25</v>
      </c>
      <c r="E16" s="2" t="s">
        <v>47</v>
      </c>
      <c r="F16" s="2" t="s">
        <v>59</v>
      </c>
      <c r="G16" s="2" t="s">
        <v>66</v>
      </c>
      <c r="H16" s="2" t="s">
        <v>67</v>
      </c>
      <c r="I16" s="2" t="n">
        <v>2084</v>
      </c>
      <c r="J16" s="2" t="n">
        <v>4</v>
      </c>
      <c r="K16" s="2" t="n">
        <v>9</v>
      </c>
      <c r="L16" s="2" t="n">
        <v>3</v>
      </c>
      <c r="M16" s="2" t="n">
        <v>10</v>
      </c>
    </row>
    <row r="17" customFormat="false" ht="15" hidden="false" customHeight="false" outlineLevel="0" collapsed="false">
      <c r="A17" s="2" t="n">
        <v>2</v>
      </c>
      <c r="B17" s="2" t="s">
        <v>21</v>
      </c>
      <c r="C17" s="2" t="s">
        <v>22</v>
      </c>
      <c r="D17" s="2" t="s">
        <v>25</v>
      </c>
      <c r="E17" s="2" t="s">
        <v>47</v>
      </c>
      <c r="F17" s="2" t="s">
        <v>25</v>
      </c>
      <c r="G17" s="2" t="s">
        <v>74</v>
      </c>
      <c r="H17" s="2" t="s">
        <v>74</v>
      </c>
      <c r="I17" s="2" t="n">
        <v>6188</v>
      </c>
      <c r="J17" s="2" t="n">
        <v>12</v>
      </c>
      <c r="K17" s="2" t="n">
        <v>7</v>
      </c>
      <c r="L17" s="2" t="n">
        <v>5</v>
      </c>
      <c r="M17" s="2" t="n">
        <v>10</v>
      </c>
    </row>
    <row r="18" customFormat="false" ht="15" hidden="false" customHeight="false" outlineLevel="0" collapsed="false">
      <c r="A18" s="2" t="n">
        <v>2</v>
      </c>
      <c r="B18" s="2" t="s">
        <v>21</v>
      </c>
      <c r="C18" s="2" t="s">
        <v>22</v>
      </c>
      <c r="D18" s="2" t="s">
        <v>25</v>
      </c>
      <c r="E18" s="2" t="s">
        <v>47</v>
      </c>
      <c r="F18" s="2" t="s">
        <v>25</v>
      </c>
      <c r="G18" s="2" t="s">
        <v>73</v>
      </c>
      <c r="H18" s="2" t="s">
        <v>73</v>
      </c>
      <c r="I18" s="2" t="n">
        <v>5895</v>
      </c>
      <c r="J18" s="2" t="n">
        <v>11</v>
      </c>
      <c r="K18" s="2" t="n">
        <v>6</v>
      </c>
      <c r="L18" s="2" t="n">
        <v>5</v>
      </c>
      <c r="M18" s="2" t="n">
        <v>10</v>
      </c>
    </row>
    <row r="19" customFormat="false" ht="15" hidden="false" customHeight="false" outlineLevel="0" collapsed="false">
      <c r="A19" s="2" t="n">
        <v>2</v>
      </c>
      <c r="B19" s="2" t="s">
        <v>21</v>
      </c>
      <c r="C19" s="2" t="s">
        <v>22</v>
      </c>
      <c r="D19" s="2" t="s">
        <v>25</v>
      </c>
      <c r="E19" s="2" t="s">
        <v>47</v>
      </c>
      <c r="F19" s="2" t="s">
        <v>25</v>
      </c>
      <c r="G19" s="2" t="s">
        <v>71</v>
      </c>
      <c r="H19" s="2" t="s">
        <v>71</v>
      </c>
      <c r="I19" s="2" t="n">
        <v>5717</v>
      </c>
      <c r="J19" s="2" t="n">
        <v>7</v>
      </c>
      <c r="K19" s="2" t="n">
        <v>6</v>
      </c>
      <c r="L19" s="2" t="n">
        <v>4</v>
      </c>
      <c r="M19" s="2" t="n">
        <v>10</v>
      </c>
    </row>
    <row r="20" customFormat="false" ht="15" hidden="false" customHeight="false" outlineLevel="0" collapsed="false">
      <c r="A20" s="2" t="n">
        <v>2</v>
      </c>
      <c r="B20" s="2" t="s">
        <v>21</v>
      </c>
      <c r="C20" s="2" t="s">
        <v>22</v>
      </c>
      <c r="D20" s="2" t="s">
        <v>25</v>
      </c>
      <c r="E20" s="2" t="s">
        <v>47</v>
      </c>
      <c r="F20" s="2" t="s">
        <v>25</v>
      </c>
      <c r="G20" s="2" t="s">
        <v>70</v>
      </c>
      <c r="H20" s="2" t="s">
        <v>70</v>
      </c>
      <c r="I20" s="2" t="n">
        <v>5405</v>
      </c>
      <c r="J20" s="2" t="n">
        <v>4</v>
      </c>
      <c r="K20" s="2" t="n">
        <v>7</v>
      </c>
      <c r="L20" s="2" t="n">
        <v>3</v>
      </c>
      <c r="M20" s="2" t="n">
        <v>10</v>
      </c>
    </row>
    <row r="21" customFormat="false" ht="15" hidden="false" customHeight="false" outlineLevel="0" collapsed="false">
      <c r="A21" s="2" t="n">
        <v>2</v>
      </c>
      <c r="B21" s="2" t="s">
        <v>21</v>
      </c>
      <c r="C21" s="2" t="s">
        <v>22</v>
      </c>
      <c r="D21" s="2" t="s">
        <v>25</v>
      </c>
      <c r="E21" s="2" t="s">
        <v>47</v>
      </c>
      <c r="F21" s="2" t="s">
        <v>25</v>
      </c>
      <c r="G21" s="2" t="s">
        <v>72</v>
      </c>
      <c r="H21" s="2" t="s">
        <v>72</v>
      </c>
      <c r="I21" s="2" t="n">
        <v>5140</v>
      </c>
      <c r="J21" s="2" t="n">
        <v>6</v>
      </c>
      <c r="K21" s="2" t="n">
        <v>5</v>
      </c>
      <c r="L21" s="2" t="n">
        <v>4</v>
      </c>
      <c r="M21" s="2" t="n">
        <v>10</v>
      </c>
    </row>
    <row r="22" customFormat="false" ht="15" hidden="false" customHeight="false" outlineLevel="0" collapsed="false">
      <c r="A22" s="2" t="n">
        <v>3</v>
      </c>
      <c r="B22" s="2" t="s">
        <v>29</v>
      </c>
      <c r="C22" s="2" t="s">
        <v>30</v>
      </c>
      <c r="D22" s="2" t="s">
        <v>31</v>
      </c>
      <c r="E22" s="2" t="s">
        <v>50</v>
      </c>
      <c r="F22" s="2" t="s">
        <v>59</v>
      </c>
      <c r="G22" s="2" t="s">
        <v>60</v>
      </c>
      <c r="H22" s="2" t="s">
        <v>61</v>
      </c>
      <c r="I22" s="2" t="n">
        <v>2000</v>
      </c>
      <c r="J22" s="2" t="n">
        <v>12</v>
      </c>
      <c r="K22" s="2" t="n">
        <v>5</v>
      </c>
      <c r="L22" s="2" t="n">
        <v>1</v>
      </c>
      <c r="M22" s="2" t="n">
        <v>9</v>
      </c>
    </row>
    <row r="23" customFormat="false" ht="15" hidden="false" customHeight="false" outlineLevel="0" collapsed="false">
      <c r="A23" s="2" t="n">
        <v>3</v>
      </c>
      <c r="B23" s="2" t="s">
        <v>29</v>
      </c>
      <c r="C23" s="2" t="s">
        <v>30</v>
      </c>
      <c r="D23" s="2" t="s">
        <v>31</v>
      </c>
      <c r="E23" s="2" t="s">
        <v>50</v>
      </c>
      <c r="F23" s="2" t="s">
        <v>59</v>
      </c>
      <c r="G23" s="2" t="s">
        <v>64</v>
      </c>
      <c r="H23" s="2" t="s">
        <v>65</v>
      </c>
      <c r="I23" s="2" t="n">
        <v>2000</v>
      </c>
      <c r="J23" s="2" t="n">
        <v>9</v>
      </c>
      <c r="K23" s="2" t="n">
        <v>6</v>
      </c>
      <c r="L23" s="2" t="n">
        <v>1</v>
      </c>
      <c r="M23" s="2" t="n">
        <v>9</v>
      </c>
    </row>
    <row r="24" customFormat="false" ht="15" hidden="false" customHeight="false" outlineLevel="0" collapsed="false">
      <c r="A24" s="2" t="n">
        <v>3</v>
      </c>
      <c r="B24" s="2" t="s">
        <v>29</v>
      </c>
      <c r="C24" s="2" t="s">
        <v>30</v>
      </c>
      <c r="D24" s="2" t="s">
        <v>31</v>
      </c>
      <c r="E24" s="2" t="s">
        <v>50</v>
      </c>
      <c r="F24" s="2" t="s">
        <v>59</v>
      </c>
      <c r="G24" s="2" t="s">
        <v>62</v>
      </c>
      <c r="H24" s="2" t="s">
        <v>63</v>
      </c>
      <c r="I24" s="2" t="n">
        <v>2000</v>
      </c>
      <c r="J24" s="2" t="n">
        <v>7</v>
      </c>
      <c r="K24" s="2" t="n">
        <v>7</v>
      </c>
      <c r="L24" s="2" t="n">
        <v>1</v>
      </c>
      <c r="M24" s="2" t="n">
        <v>9</v>
      </c>
    </row>
    <row r="25" customFormat="false" ht="15" hidden="false" customHeight="false" outlineLevel="0" collapsed="false">
      <c r="A25" s="2" t="n">
        <v>3</v>
      </c>
      <c r="B25" s="2" t="s">
        <v>29</v>
      </c>
      <c r="C25" s="2" t="s">
        <v>30</v>
      </c>
      <c r="D25" s="2" t="s">
        <v>31</v>
      </c>
      <c r="E25" s="2" t="s">
        <v>50</v>
      </c>
      <c r="F25" s="2" t="s">
        <v>59</v>
      </c>
      <c r="G25" s="2" t="s">
        <v>66</v>
      </c>
      <c r="H25" s="2" t="s">
        <v>67</v>
      </c>
      <c r="I25" s="2" t="n">
        <v>2000</v>
      </c>
      <c r="J25" s="2" t="n">
        <v>6</v>
      </c>
      <c r="K25" s="2" t="n">
        <v>8</v>
      </c>
      <c r="L25" s="2" t="n">
        <v>1</v>
      </c>
      <c r="M25" s="2" t="n">
        <v>9</v>
      </c>
    </row>
    <row r="26" customFormat="false" ht="15" hidden="false" customHeight="false" outlineLevel="0" collapsed="false">
      <c r="A26" s="2" t="n">
        <v>3</v>
      </c>
      <c r="B26" s="2" t="s">
        <v>29</v>
      </c>
      <c r="C26" s="2" t="s">
        <v>30</v>
      </c>
      <c r="D26" s="2" t="s">
        <v>31</v>
      </c>
      <c r="E26" s="2" t="s">
        <v>50</v>
      </c>
      <c r="F26" s="2" t="s">
        <v>59</v>
      </c>
      <c r="G26" s="2" t="s">
        <v>68</v>
      </c>
      <c r="H26" s="2" t="s">
        <v>69</v>
      </c>
      <c r="I26" s="2" t="n">
        <v>2000</v>
      </c>
      <c r="J26" s="2" t="n">
        <v>8</v>
      </c>
      <c r="K26" s="2" t="n">
        <v>6</v>
      </c>
      <c r="L26" s="2" t="n">
        <v>1</v>
      </c>
      <c r="M26" s="2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6" min="4" style="0" width="6"/>
    <col collapsed="false" customWidth="true" hidden="false" outlineLevel="0" max="9" min="7" style="0" width="8"/>
    <col collapsed="false" customWidth="true" hidden="false" outlineLevel="0" max="10" min="10" style="0" width="7"/>
  </cols>
  <sheetData>
    <row r="1" customFormat="false" ht="15" hidden="false" customHeight="false" outlineLevel="0" collapsed="false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  <c r="J1" s="3" t="s">
        <v>84</v>
      </c>
    </row>
    <row r="2" customFormat="false" ht="15" hidden="false" customHeight="false" outlineLevel="0" collapsed="false">
      <c r="A2" s="2" t="s">
        <v>62</v>
      </c>
      <c r="B2" s="2" t="n">
        <v>3</v>
      </c>
      <c r="C2" s="2" t="n">
        <v>29</v>
      </c>
      <c r="D2" s="2" t="n">
        <v>18</v>
      </c>
      <c r="E2" s="2" t="n">
        <v>24</v>
      </c>
      <c r="F2" s="2" t="n">
        <v>6</v>
      </c>
      <c r="G2" s="2" t="n">
        <f aca="false">ROUND(D2/MAX(E2,1),2)</f>
        <v>0.75</v>
      </c>
      <c r="H2" s="2" t="n">
        <f aca="false">ROUND(D2/MAX(C2,1),2)</f>
        <v>0.62</v>
      </c>
      <c r="I2" s="2" t="n">
        <f aca="false">ROUND((C2-E2)/MAX(C2,1)*100,1)</f>
        <v>17.2</v>
      </c>
      <c r="J2" s="2" t="n">
        <f aca="false">D2-E2</f>
        <v>-6</v>
      </c>
    </row>
    <row r="3" customFormat="false" ht="15" hidden="false" customHeight="false" outlineLevel="0" collapsed="false">
      <c r="A3" s="2" t="s">
        <v>64</v>
      </c>
      <c r="B3" s="2" t="n">
        <v>3</v>
      </c>
      <c r="C3" s="2" t="n">
        <v>29</v>
      </c>
      <c r="D3" s="2" t="n">
        <v>27</v>
      </c>
      <c r="E3" s="2" t="n">
        <v>22</v>
      </c>
      <c r="F3" s="2" t="n">
        <v>2</v>
      </c>
      <c r="G3" s="2" t="n">
        <f aca="false">ROUND(D3/MAX(E3,1),2)</f>
        <v>1.23</v>
      </c>
      <c r="H3" s="2" t="n">
        <f aca="false">ROUND(D3/MAX(C3,1),2)</f>
        <v>0.93</v>
      </c>
      <c r="I3" s="2" t="n">
        <f aca="false">ROUND((C3-E3)/MAX(C3,1)*100,1)</f>
        <v>24.1</v>
      </c>
      <c r="J3" s="2" t="n">
        <f aca="false">D3-E3</f>
        <v>5</v>
      </c>
    </row>
    <row r="4" customFormat="false" ht="15" hidden="false" customHeight="false" outlineLevel="0" collapsed="false">
      <c r="A4" s="2" t="s">
        <v>60</v>
      </c>
      <c r="B4" s="2" t="n">
        <v>3</v>
      </c>
      <c r="C4" s="2" t="n">
        <v>29</v>
      </c>
      <c r="D4" s="2" t="n">
        <v>29</v>
      </c>
      <c r="E4" s="2" t="n">
        <v>20</v>
      </c>
      <c r="F4" s="2" t="n">
        <v>3</v>
      </c>
      <c r="G4" s="2" t="n">
        <f aca="false">ROUND(D4/MAX(E4,1),2)</f>
        <v>1.45</v>
      </c>
      <c r="H4" s="2" t="n">
        <f aca="false">ROUND(D4/MAX(C4,1),2)</f>
        <v>1</v>
      </c>
      <c r="I4" s="2" t="n">
        <f aca="false">ROUND((C4-E4)/MAX(C4,1)*100,1)</f>
        <v>31</v>
      </c>
      <c r="J4" s="2" t="n">
        <f aca="false">D4-E4</f>
        <v>9</v>
      </c>
    </row>
    <row r="5" customFormat="false" ht="15" hidden="false" customHeight="false" outlineLevel="0" collapsed="false">
      <c r="A5" s="2" t="s">
        <v>66</v>
      </c>
      <c r="B5" s="2" t="n">
        <v>3</v>
      </c>
      <c r="C5" s="2" t="n">
        <v>29</v>
      </c>
      <c r="D5" s="2" t="n">
        <v>13</v>
      </c>
      <c r="E5" s="2" t="n">
        <v>26</v>
      </c>
      <c r="F5" s="2" t="n">
        <v>6</v>
      </c>
      <c r="G5" s="2" t="n">
        <f aca="false">ROUND(D5/MAX(E5,1),2)</f>
        <v>0.5</v>
      </c>
      <c r="H5" s="2" t="n">
        <f aca="false">ROUND(D5/MAX(C5,1),2)</f>
        <v>0.45</v>
      </c>
      <c r="I5" s="2" t="n">
        <f aca="false">ROUND((C5-E5)/MAX(C5,1)*100,1)</f>
        <v>10.3</v>
      </c>
      <c r="J5" s="2" t="n">
        <f aca="false">D5-E5</f>
        <v>-13</v>
      </c>
    </row>
    <row r="6" customFormat="false" ht="15" hidden="false" customHeight="false" outlineLevel="0" collapsed="false">
      <c r="A6" s="2" t="s">
        <v>68</v>
      </c>
      <c r="B6" s="2" t="n">
        <v>3</v>
      </c>
      <c r="C6" s="2" t="n">
        <v>29</v>
      </c>
      <c r="D6" s="2" t="n">
        <v>14</v>
      </c>
      <c r="E6" s="2" t="n">
        <v>22</v>
      </c>
      <c r="F6" s="2" t="n">
        <v>3</v>
      </c>
      <c r="G6" s="2" t="n">
        <f aca="false">ROUND(D6/MAX(E6,1),2)</f>
        <v>0.64</v>
      </c>
      <c r="H6" s="2" t="n">
        <f aca="false">ROUND(D6/MAX(C6,1),2)</f>
        <v>0.48</v>
      </c>
      <c r="I6" s="2" t="n">
        <f aca="false">ROUND((C6-E6)/MAX(C6,1)*100,1)</f>
        <v>24.1</v>
      </c>
      <c r="J6" s="2" t="n">
        <f aca="false">D6-E6</f>
        <v>-8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9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" t="s">
        <v>36</v>
      </c>
      <c r="B1" s="3" t="s">
        <v>85</v>
      </c>
      <c r="C1" s="3" t="s">
        <v>33</v>
      </c>
      <c r="D1" s="3" t="s">
        <v>27</v>
      </c>
      <c r="E1" s="3" t="s">
        <v>86</v>
      </c>
      <c r="F1" s="3" t="s">
        <v>87</v>
      </c>
      <c r="G1" s="3" t="s">
        <v>88</v>
      </c>
      <c r="H1" s="3" t="s">
        <v>89</v>
      </c>
    </row>
    <row r="2" customFormat="false" ht="15" hidden="false" customHeight="false" outlineLevel="0" collapsed="false">
      <c r="A2" s="2" t="s">
        <v>50</v>
      </c>
      <c r="B2" s="2" t="n">
        <v>1</v>
      </c>
      <c r="C2" s="2" t="n">
        <v>1</v>
      </c>
      <c r="D2" s="2" t="n">
        <v>0</v>
      </c>
      <c r="E2" s="2" t="n">
        <v>7</v>
      </c>
      <c r="F2" s="2" t="n">
        <v>2</v>
      </c>
      <c r="G2" s="2" t="n">
        <v>100</v>
      </c>
      <c r="H2" s="2" t="n">
        <v>77.8</v>
      </c>
    </row>
    <row r="3" customFormat="false" ht="15" hidden="false" customHeight="false" outlineLevel="0" collapsed="false">
      <c r="A3" s="2" t="s">
        <v>43</v>
      </c>
      <c r="B3" s="2" t="n">
        <v>1</v>
      </c>
      <c r="C3" s="2" t="n">
        <v>0</v>
      </c>
      <c r="D3" s="2" t="n">
        <v>1</v>
      </c>
      <c r="E3" s="2" t="n">
        <v>3</v>
      </c>
      <c r="F3" s="2" t="n">
        <v>7</v>
      </c>
      <c r="G3" s="2" t="n">
        <v>0</v>
      </c>
      <c r="H3" s="2" t="n">
        <v>30</v>
      </c>
    </row>
    <row r="4" customFormat="false" ht="15" hidden="false" customHeight="false" outlineLevel="0" collapsed="false">
      <c r="A4" s="2" t="s">
        <v>47</v>
      </c>
      <c r="B4" s="2" t="n">
        <v>1</v>
      </c>
      <c r="C4" s="2" t="n">
        <v>0</v>
      </c>
      <c r="D4" s="2" t="n">
        <v>1</v>
      </c>
      <c r="E4" s="2" t="n">
        <v>3</v>
      </c>
      <c r="F4" s="2" t="n">
        <v>7</v>
      </c>
      <c r="G4" s="2" t="n">
        <v>0</v>
      </c>
      <c r="H4" s="2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9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" t="s">
        <v>10</v>
      </c>
      <c r="B1" s="3" t="s">
        <v>14</v>
      </c>
      <c r="C1" s="3" t="s">
        <v>15</v>
      </c>
      <c r="D1" s="3" t="s">
        <v>90</v>
      </c>
      <c r="E1" s="3" t="s">
        <v>91</v>
      </c>
      <c r="F1" s="3" t="s">
        <v>92</v>
      </c>
      <c r="G1" s="3" t="s">
        <v>36</v>
      </c>
    </row>
    <row r="2" customFormat="false" ht="15" hidden="false" customHeight="false" outlineLevel="0" collapsed="false">
      <c r="A2" s="2" t="s">
        <v>21</v>
      </c>
      <c r="B2" s="2" t="s">
        <v>25</v>
      </c>
      <c r="C2" s="2" t="s">
        <v>26</v>
      </c>
      <c r="D2" s="2" t="n">
        <v>1</v>
      </c>
      <c r="E2" s="2" t="s">
        <v>25</v>
      </c>
      <c r="F2" s="2" t="s">
        <v>93</v>
      </c>
      <c r="G2" s="2" t="s">
        <v>94</v>
      </c>
    </row>
    <row r="3" customFormat="false" ht="15" hidden="false" customHeight="false" outlineLevel="0" collapsed="false">
      <c r="A3" s="2" t="s">
        <v>21</v>
      </c>
      <c r="B3" s="2" t="s">
        <v>25</v>
      </c>
      <c r="C3" s="2" t="s">
        <v>26</v>
      </c>
      <c r="D3" s="2" t="n">
        <v>2</v>
      </c>
      <c r="E3" s="2" t="s">
        <v>25</v>
      </c>
      <c r="F3" s="2" t="s">
        <v>93</v>
      </c>
      <c r="G3" s="2" t="s">
        <v>95</v>
      </c>
    </row>
    <row r="4" customFormat="false" ht="15" hidden="false" customHeight="false" outlineLevel="0" collapsed="false">
      <c r="A4" s="2" t="s">
        <v>21</v>
      </c>
      <c r="B4" s="2" t="s">
        <v>25</v>
      </c>
      <c r="C4" s="2" t="s">
        <v>26</v>
      </c>
      <c r="D4" s="2" t="n">
        <v>3</v>
      </c>
      <c r="E4" s="2" t="s">
        <v>25</v>
      </c>
      <c r="F4" s="2" t="s">
        <v>96</v>
      </c>
      <c r="G4" s="2" t="s">
        <v>43</v>
      </c>
    </row>
    <row r="5" customFormat="false" ht="15" hidden="false" customHeight="false" outlineLevel="0" collapsed="false">
      <c r="A5" s="2" t="s">
        <v>21</v>
      </c>
      <c r="B5" s="2" t="s">
        <v>25</v>
      </c>
      <c r="C5" s="2" t="s">
        <v>26</v>
      </c>
      <c r="D5" s="2" t="n">
        <v>4</v>
      </c>
      <c r="E5" s="2" t="s">
        <v>59</v>
      </c>
      <c r="F5" s="2" t="s">
        <v>96</v>
      </c>
      <c r="G5" s="2" t="s">
        <v>47</v>
      </c>
    </row>
    <row r="6" customFormat="false" ht="15" hidden="false" customHeight="false" outlineLevel="0" collapsed="false">
      <c r="A6" s="2" t="s">
        <v>21</v>
      </c>
      <c r="B6" s="2" t="s">
        <v>25</v>
      </c>
      <c r="C6" s="2" t="s">
        <v>26</v>
      </c>
      <c r="D6" s="2" t="n">
        <v>5</v>
      </c>
      <c r="E6" s="2" t="s">
        <v>25</v>
      </c>
      <c r="F6" s="2" t="s">
        <v>93</v>
      </c>
      <c r="G6" s="2" t="s">
        <v>97</v>
      </c>
    </row>
    <row r="7" customFormat="false" ht="15" hidden="false" customHeight="false" outlineLevel="0" collapsed="false">
      <c r="A7" s="2" t="s">
        <v>21</v>
      </c>
      <c r="B7" s="2" t="s">
        <v>25</v>
      </c>
      <c r="C7" s="2" t="s">
        <v>26</v>
      </c>
      <c r="D7" s="2" t="n">
        <v>6</v>
      </c>
      <c r="E7" s="2"/>
      <c r="F7" s="2" t="s">
        <v>98</v>
      </c>
      <c r="G7" s="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2026-09-17T14:02:12Z</dcterms:created>
  <dc:creator>openpyxl</dc:creator>
  <dc:description/>
  <dc:language>en-US</dc:language>
  <cp:lastModifiedBy/>
  <dcterms:modified xsi:type="dcterms:W3CDTF">2026-09-17T14:02:12Z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